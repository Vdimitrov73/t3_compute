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Tax Documents\t3_compute\"/>
    </mc:Choice>
  </mc:AlternateContent>
  <xr:revisionPtr revIDLastSave="0" documentId="13_ncr:1_{A0055C90-8F26-443E-9D4D-91DF70E742B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ADME" sheetId="1" r:id="rId1"/>
    <sheet name="VBAL" sheetId="2" r:id="rId2"/>
    <sheet name="CPD" sheetId="3" r:id="rId3"/>
    <sheet name="VRE" sheetId="4" r:id="rId4"/>
    <sheet name="ZCN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5" l="1"/>
  <c r="F5" i="5"/>
  <c r="F4" i="5"/>
  <c r="F3" i="5"/>
  <c r="H2" i="5"/>
  <c r="I2" i="5" s="1"/>
  <c r="G2" i="5"/>
  <c r="G3" i="5" s="1"/>
  <c r="F2" i="5"/>
  <c r="F4" i="4"/>
  <c r="G3" i="4"/>
  <c r="G4" i="4" s="1"/>
  <c r="F3" i="4"/>
  <c r="H2" i="4"/>
  <c r="I2" i="4" s="1"/>
  <c r="G2" i="4"/>
  <c r="H3" i="4" s="1"/>
  <c r="F2" i="4"/>
  <c r="H6" i="3"/>
  <c r="F6" i="3"/>
  <c r="F5" i="3"/>
  <c r="F4" i="3"/>
  <c r="F3" i="3"/>
  <c r="I2" i="3"/>
  <c r="H2" i="3"/>
  <c r="G2" i="3"/>
  <c r="G3" i="3" s="1"/>
  <c r="F2" i="3"/>
  <c r="F7" i="2"/>
  <c r="F6" i="2"/>
  <c r="F4" i="2"/>
  <c r="F3" i="2"/>
  <c r="I2" i="2"/>
  <c r="H2" i="2"/>
  <c r="G2" i="2"/>
  <c r="G3" i="2" s="1"/>
  <c r="F2" i="2"/>
  <c r="H4" i="2" l="1"/>
  <c r="G4" i="2"/>
  <c r="H4" i="3"/>
  <c r="G4" i="3"/>
  <c r="I3" i="4"/>
  <c r="J2" i="4"/>
  <c r="H4" i="5"/>
  <c r="G4" i="5"/>
  <c r="H3" i="2"/>
  <c r="I3" i="2" s="1"/>
  <c r="H3" i="3"/>
  <c r="I3" i="3" s="1"/>
  <c r="H4" i="4"/>
  <c r="H3" i="5"/>
  <c r="I3" i="5" s="1"/>
  <c r="J2" i="2"/>
  <c r="J2" i="3"/>
  <c r="J2" i="5"/>
  <c r="I4" i="4" l="1"/>
  <c r="J4" i="4" s="1"/>
  <c r="I4" i="5"/>
  <c r="J3" i="5"/>
  <c r="I4" i="3"/>
  <c r="J4" i="3" s="1"/>
  <c r="J3" i="3"/>
  <c r="I4" i="2"/>
  <c r="J3" i="2"/>
  <c r="G5" i="5"/>
  <c r="J4" i="5"/>
  <c r="H5" i="5"/>
  <c r="J3" i="4"/>
  <c r="G5" i="3"/>
  <c r="H5" i="3"/>
  <c r="G5" i="2"/>
  <c r="J4" i="2"/>
  <c r="F5" i="2" l="1"/>
  <c r="H5" i="2"/>
  <c r="I5" i="2" s="1"/>
  <c r="J5" i="2" s="1"/>
  <c r="G6" i="3"/>
  <c r="H6" i="2"/>
  <c r="G6" i="2"/>
  <c r="H6" i="5"/>
  <c r="G6" i="5"/>
  <c r="I5" i="3"/>
  <c r="I6" i="3" s="1"/>
  <c r="I5" i="5"/>
  <c r="I6" i="5" l="1"/>
  <c r="J6" i="5" s="1"/>
  <c r="I6" i="2"/>
  <c r="J5" i="5"/>
  <c r="G7" i="2"/>
  <c r="J6" i="2"/>
  <c r="H7" i="2"/>
  <c r="I7" i="2" s="1"/>
  <c r="J5" i="3"/>
  <c r="J6" i="3"/>
  <c r="J7" i="2" l="1"/>
</calcChain>
</file>

<file path=xl/sharedStrings.xml><?xml version="1.0" encoding="utf-8"?>
<sst xmlns="http://schemas.openxmlformats.org/spreadsheetml/2006/main" count="107" uniqueCount="53">
  <si>
    <t>T3 Pipeline — ACB Spreadsheet</t>
  </si>
  <si>
    <t>HOW TO USE THIS SPREADSHEET</t>
  </si>
  <si>
    <t>Each fund has its own sheet named after its ticker symbol (e.g. VBAL, ZCN).</t>
  </si>
  <si>
    <t>Formulas are chained — each row references the row above. Do NOT sort or insert rows manually.</t>
  </si>
  <si>
    <t>COLUMN REFERENCE</t>
  </si>
  <si>
    <t>A  Date            — YYYY-MMM-DD (e.g. 2025-Jan-01)</t>
  </si>
  <si>
    <t>B  Transaction     — Buy / Sell / ROC  (dropdown)</t>
  </si>
  <si>
    <t>C  Price / Share   — Purchase/sale price for Buy/Sell. Per-unit ROC amount for ROC rows.</t>
  </si>
  <si>
    <t xml:space="preserve">                     Negative value = phantom (non-cash) distribution — increases ACB.</t>
  </si>
  <si>
    <t>D  Shares          — Number of shares. Leave blank for ROC rows.</t>
  </si>
  <si>
    <t>E  Commission      — Brokerage fee. Leave blank if none.</t>
  </si>
  <si>
    <t>F  Capital Gains   — Auto-calculated on Sell rows ($0.00 on all others). Do not edit.</t>
  </si>
  <si>
    <t>H  ACB Change      — Auto-calculated dollar change per transaction. Do not edit.</t>
  </si>
  <si>
    <t>I  ACB             — Auto-calculated cumulative ACB. Do not edit.</t>
  </si>
  <si>
    <t>J  ACB / Share     — Auto-calculated ACB per share. Do not edit.</t>
  </si>
  <si>
    <t>ROC ROWS</t>
  </si>
  <si>
    <t>Regular ROC   : Positive per-unit amount in Col C (e.g. 0.0018). Reduces ACB.</t>
  </si>
  <si>
    <t>Phantom ROC   : Negative per-unit amount in Col C (e.g. -0.4302). Increases ACB.</t>
  </si>
  <si>
    <t xml:space="preserve">               Leave Cols D and E blank for all ROC rows.</t>
  </si>
  <si>
    <t>ADDING NEW FUNDS</t>
  </si>
  <si>
    <t>Right-click any fund tab → Move or Copy → check Create a copy → rename to the new ticker.</t>
  </si>
  <si>
    <t>Clear the data rows, keep row 1 header and yellow notes. Add your transactions.</t>
  </si>
  <si>
    <t>Add the new ticker to config.json and funds.json.</t>
  </si>
  <si>
    <t>DISCLAIMER</t>
  </si>
  <si>
    <t>This spreadsheet is a convenience tool only. Verify all ACB calculations independently.</t>
  </si>
  <si>
    <t>Consult a tax professional if in doubt.</t>
  </si>
  <si>
    <t>Date</t>
  </si>
  <si>
    <t>Transaction</t>
  </si>
  <si>
    <t>Price / Share</t>
  </si>
  <si>
    <t>Shares</t>
  </si>
  <si>
    <t>Commission</t>
  </si>
  <si>
    <t>Capital Gains</t>
  </si>
  <si>
    <t>Share Balance</t>
  </si>
  <si>
    <t>ACB Change</t>
  </si>
  <si>
    <t>ACB</t>
  </si>
  <si>
    <t>ACB / Share</t>
  </si>
  <si>
    <t>2025-Jan-01</t>
  </si>
  <si>
    <t>Buy</t>
  </si>
  <si>
    <t>2025-Apr-01</t>
  </si>
  <si>
    <t>ROC</t>
  </si>
  <si>
    <t>2025-Jul-02</t>
  </si>
  <si>
    <t>2025-Oct-01</t>
  </si>
  <si>
    <t>2025-Dec-30</t>
  </si>
  <si>
    <t>2025-Jan-28</t>
  </si>
  <si>
    <t>2025-Feb-25</t>
  </si>
  <si>
    <t>2025-Mar-26</t>
  </si>
  <si>
    <t>2025-Jun-02</t>
  </si>
  <si>
    <t>2025-Mar-28</t>
  </si>
  <si>
    <t>2025-Jun-27</t>
  </si>
  <si>
    <t>Sell</t>
  </si>
  <si>
    <t>G  Share Balance   — Auto-calculated running total. The pipeline recomputes balances from your Buy/Sells directly.</t>
  </si>
  <si>
    <t>Use 'run_t3.py --step 2' to safely insert ROC rows from the T3 pipeline in date order.</t>
  </si>
  <si>
    <t>Cols A-E are your inputs. Cols (F-J) are formulas (cols F-J) — do not edit them.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</si>
</sst>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m\-dd"/>
    <numFmt numFmtId="165" formatCode="\$#,##0.#######;&quot;-$&quot;#,##0.#######"/>
    <numFmt numFmtId="166" formatCode="#,##0.####"/>
    <numFmt numFmtId="167" formatCode="\$#,##0.00;&quot;-$&quot;#,##0.00;\$0.00"/>
    <numFmt numFmtId="168" formatCode="&quot;$&quot;#,##0.00"/>
  </numFmts>
  <fonts count="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167" fontId="2" fillId="0" borderId="1" xfId="0" applyNumberFormat="1" applyFont="1" applyFill="1" applyBorder="1" applyAlignment="1">
      <alignment horizontal="right" vertical="center"/>
    </xf>
    <xf numFmtId="166" fontId="2" fillId="0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Fill="1" applyBorder="1" applyAlignment="1">
      <alignment horizontal="right" vertical="center"/>
    </xf>
    <xf numFmtId="164" fontId="5" fillId="0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right" vertical="center"/>
    </xf>
    <xf numFmtId="0" fontId="5" fillId="0" borderId="1" xfId="0" applyFont="1" applyFill="1" applyBorder="1" applyAlignment="1">
      <alignment horizontal="right" vertical="center"/>
    </xf>
    <xf numFmtId="168" fontId="5" fillId="0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167" fontId="5" fillId="0" borderId="1" xfId="0" applyNumberFormat="1" applyFont="1" applyFill="1" applyBorder="1" applyAlignment="1">
      <alignment horizontal="right" vertical="center"/>
    </xf>
    <xf numFmtId="166" fontId="5" fillId="0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4"/>
  <sheetViews>
    <sheetView tabSelected="1" zoomScaleNormal="100" workbookViewId="0"/>
  </sheetViews>
  <sheetFormatPr defaultColWidth="8.7109375" defaultRowHeight="15" x14ac:dyDescent="0.25"/>
  <cols>
    <col min="1" max="1" width="100" customWidth="1"/>
  </cols>
  <sheetData>
    <row r="1" spans="1:1" ht="15.75" customHeight="1" x14ac:dyDescent="0.25">
      <c r="A1" s="1" t="s">
        <v>0</v>
      </c>
    </row>
    <row r="2" spans="1:1" ht="7.5" customHeight="1" x14ac:dyDescent="0.25">
      <c r="A2" s="2"/>
    </row>
    <row r="3" spans="1:1" ht="15.75" customHeight="1" x14ac:dyDescent="0.25">
      <c r="A3" s="3" t="s">
        <v>1</v>
      </c>
    </row>
    <row r="4" spans="1:1" ht="15.75" customHeight="1" x14ac:dyDescent="0.25">
      <c r="A4" s="2" t="s">
        <v>2</v>
      </c>
    </row>
    <row r="5" spans="1:1" ht="15.75" customHeight="1" x14ac:dyDescent="0.25">
      <c r="A5" s="2" t="s">
        <v>52</v>
      </c>
    </row>
    <row r="6" spans="1:1" ht="15.75" customHeight="1" x14ac:dyDescent="0.25">
      <c r="A6" s="2" t="s">
        <v>3</v>
      </c>
    </row>
    <row r="7" spans="1:1" ht="15.75" customHeight="1" x14ac:dyDescent="0.25">
      <c r="A7" s="2" t="s">
        <v>51</v>
      </c>
    </row>
    <row r="8" spans="1:1" ht="7.5" customHeight="1" x14ac:dyDescent="0.25">
      <c r="A8" s="2"/>
    </row>
    <row r="9" spans="1:1" ht="15.75" customHeight="1" x14ac:dyDescent="0.25">
      <c r="A9" s="3" t="s">
        <v>4</v>
      </c>
    </row>
    <row r="10" spans="1:1" ht="15.75" customHeight="1" x14ac:dyDescent="0.25">
      <c r="A10" s="2" t="s">
        <v>5</v>
      </c>
    </row>
    <row r="11" spans="1:1" ht="15.75" customHeight="1" x14ac:dyDescent="0.25">
      <c r="A11" s="2" t="s">
        <v>6</v>
      </c>
    </row>
    <row r="12" spans="1:1" ht="15.75" customHeight="1" x14ac:dyDescent="0.25">
      <c r="A12" s="2" t="s">
        <v>7</v>
      </c>
    </row>
    <row r="13" spans="1:1" ht="15.75" customHeight="1" x14ac:dyDescent="0.25">
      <c r="A13" s="2" t="s">
        <v>8</v>
      </c>
    </row>
    <row r="14" spans="1:1" ht="15.75" customHeight="1" x14ac:dyDescent="0.25">
      <c r="A14" s="2" t="s">
        <v>9</v>
      </c>
    </row>
    <row r="15" spans="1:1" ht="15.75" customHeight="1" x14ac:dyDescent="0.25">
      <c r="A15" s="2" t="s">
        <v>10</v>
      </c>
    </row>
    <row r="16" spans="1:1" ht="15.75" customHeight="1" x14ac:dyDescent="0.25">
      <c r="A16" s="2" t="s">
        <v>11</v>
      </c>
    </row>
    <row r="17" spans="1:1" ht="15.75" customHeight="1" x14ac:dyDescent="0.25">
      <c r="A17" s="2" t="s">
        <v>50</v>
      </c>
    </row>
    <row r="18" spans="1:1" ht="15.75" customHeight="1" x14ac:dyDescent="0.25">
      <c r="A18" s="2" t="s">
        <v>12</v>
      </c>
    </row>
    <row r="19" spans="1:1" ht="15.75" customHeight="1" x14ac:dyDescent="0.25">
      <c r="A19" s="2" t="s">
        <v>13</v>
      </c>
    </row>
    <row r="20" spans="1:1" ht="15.75" customHeight="1" x14ac:dyDescent="0.25">
      <c r="A20" s="2" t="s">
        <v>14</v>
      </c>
    </row>
    <row r="21" spans="1:1" ht="7.5" customHeight="1" x14ac:dyDescent="0.25">
      <c r="A21" s="2"/>
    </row>
    <row r="22" spans="1:1" ht="15.75" customHeight="1" x14ac:dyDescent="0.25">
      <c r="A22" s="3" t="s">
        <v>15</v>
      </c>
    </row>
    <row r="23" spans="1:1" ht="15.75" customHeight="1" x14ac:dyDescent="0.25">
      <c r="A23" s="2" t="s">
        <v>16</v>
      </c>
    </row>
    <row r="24" spans="1:1" ht="15.75" customHeight="1" x14ac:dyDescent="0.25">
      <c r="A24" s="2" t="s">
        <v>17</v>
      </c>
    </row>
    <row r="25" spans="1:1" ht="15.75" customHeight="1" x14ac:dyDescent="0.25">
      <c r="A25" s="2" t="s">
        <v>18</v>
      </c>
    </row>
    <row r="26" spans="1:1" ht="7.5" customHeight="1" x14ac:dyDescent="0.25">
      <c r="A26" s="2"/>
    </row>
    <row r="27" spans="1:1" ht="15.75" customHeight="1" x14ac:dyDescent="0.25">
      <c r="A27" s="3" t="s">
        <v>19</v>
      </c>
    </row>
    <row r="28" spans="1:1" ht="15.75" customHeight="1" x14ac:dyDescent="0.25">
      <c r="A28" s="2" t="s">
        <v>20</v>
      </c>
    </row>
    <row r="29" spans="1:1" ht="15.75" customHeight="1" x14ac:dyDescent="0.25">
      <c r="A29" s="2" t="s">
        <v>21</v>
      </c>
    </row>
    <row r="30" spans="1:1" ht="15.75" customHeight="1" x14ac:dyDescent="0.25">
      <c r="A30" s="2" t="s">
        <v>22</v>
      </c>
    </row>
    <row r="31" spans="1:1" ht="7.5" customHeight="1" x14ac:dyDescent="0.25">
      <c r="A31" s="2"/>
    </row>
    <row r="32" spans="1:1" ht="15.75" customHeight="1" x14ac:dyDescent="0.25">
      <c r="A32" s="4" t="s">
        <v>23</v>
      </c>
    </row>
    <row r="33" spans="1:1" ht="15.75" customHeight="1" x14ac:dyDescent="0.25">
      <c r="A33" s="2" t="s">
        <v>24</v>
      </c>
    </row>
    <row r="34" spans="1:1" ht="15.75" customHeight="1" x14ac:dyDescent="0.25">
      <c r="A34" s="2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"/>
  <sheetViews>
    <sheetView zoomScaleNormal="100" workbookViewId="0">
      <pane ySplit="1" topLeftCell="A2" activePane="bottomLeft" state="frozen"/>
      <selection pane="bottomLeft" activeCell="E8" sqref="E8"/>
    </sheetView>
  </sheetViews>
  <sheetFormatPr defaultColWidth="8.7109375" defaultRowHeight="15" x14ac:dyDescent="0.25"/>
  <cols>
    <col min="1" max="2" width="14" customWidth="1"/>
    <col min="3" max="3" width="15" customWidth="1"/>
    <col min="4" max="4" width="12" customWidth="1"/>
    <col min="5" max="5" width="13" customWidth="1"/>
    <col min="6" max="7" width="14" customWidth="1"/>
    <col min="8" max="10" width="13" customWidth="1"/>
  </cols>
  <sheetData>
    <row r="1" spans="1:10" ht="19.5" customHeight="1" x14ac:dyDescent="0.25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  <c r="F1" s="13" t="s">
        <v>31</v>
      </c>
      <c r="G1" s="13" t="s">
        <v>32</v>
      </c>
      <c r="H1" s="13" t="s">
        <v>33</v>
      </c>
      <c r="I1" s="13" t="s">
        <v>34</v>
      </c>
      <c r="J1" s="13" t="s">
        <v>35</v>
      </c>
    </row>
    <row r="2" spans="1:10" x14ac:dyDescent="0.25">
      <c r="A2" s="8" t="s">
        <v>36</v>
      </c>
      <c r="B2" s="9" t="s">
        <v>37</v>
      </c>
      <c r="C2" s="10">
        <v>25</v>
      </c>
      <c r="D2" s="11">
        <v>100</v>
      </c>
      <c r="E2" s="12">
        <v>9.99</v>
      </c>
      <c r="F2" s="14">
        <f>IF(B2="Sell",ROUND((C2-0)*D2-IF(ISNUMBER(E2),E2,0),2),0)</f>
        <v>0</v>
      </c>
      <c r="G2" s="15">
        <f>ROUND(IF(B2="Buy",0+D2,IF(B2="Sell",0-D2,0)),4)</f>
        <v>100</v>
      </c>
      <c r="H2" s="14">
        <f>IF(B2="Buy",ROUND(C2*D2+IF(ISNUMBER(E2),E2,0),2),IF(B2="Sell",ROUND(-(0*D2),2),IF(B2="ROC",ROUND(-C2*0,2),0)))</f>
        <v>2509.9899999999998</v>
      </c>
      <c r="I2" s="14">
        <f>ROUND(0+H2,2)</f>
        <v>2509.9899999999998</v>
      </c>
      <c r="J2" s="10">
        <f t="shared" ref="J2:J7" si="0">IF(G2&lt;&gt;0,ROUND(I2/G2,7),0)</f>
        <v>25.099900000000002</v>
      </c>
    </row>
    <row r="3" spans="1:10" x14ac:dyDescent="0.25">
      <c r="A3" s="8" t="s">
        <v>38</v>
      </c>
      <c r="B3" s="9" t="s">
        <v>39</v>
      </c>
      <c r="C3" s="10">
        <v>4.0000000000000002E-4</v>
      </c>
      <c r="D3" s="11"/>
      <c r="E3" s="12"/>
      <c r="F3" s="14">
        <f>IF(B3="Sell",ROUND((C3-J2)*D3-IF(ISNUMBER(E3),E3,0),2),0)</f>
        <v>0</v>
      </c>
      <c r="G3" s="15">
        <f>ROUND(IF(B3="Buy",G2+D3,IF(B3="Sell",G2-D3,G2)),4)</f>
        <v>100</v>
      </c>
      <c r="H3" s="14">
        <f>IF(B3="Buy",ROUND(C3*D3+IF(ISNUMBER(E3),E3,0),2),IF(B3="Sell",ROUND(-(J2*D3),2),IF(B3="ROC",ROUND(-C3*G2,2),0)))</f>
        <v>-0.04</v>
      </c>
      <c r="I3" s="14">
        <f>ROUND(I2+H3,2)</f>
        <v>2509.9499999999998</v>
      </c>
      <c r="J3" s="10">
        <f t="shared" si="0"/>
        <v>25.099499999999999</v>
      </c>
    </row>
    <row r="4" spans="1:10" x14ac:dyDescent="0.25">
      <c r="A4" s="8" t="s">
        <v>40</v>
      </c>
      <c r="B4" s="9" t="s">
        <v>39</v>
      </c>
      <c r="C4" s="10">
        <v>4.0000000000000002E-4</v>
      </c>
      <c r="D4" s="11"/>
      <c r="E4" s="12"/>
      <c r="F4" s="14">
        <f>IF(B4="Sell",ROUND((C4-J3)*D4-IF(ISNUMBER(E4),E4,0),2),0)</f>
        <v>0</v>
      </c>
      <c r="G4" s="15">
        <f>ROUND(IF(B4="Buy",G3+D4,IF(B4="Sell",G3-D4,G3)),4)</f>
        <v>100</v>
      </c>
      <c r="H4" s="14">
        <f>IF(B4="Buy",ROUND(C4*D4+IF(ISNUMBER(E4),E4,0),2),IF(B4="Sell",ROUND(-(J3*D4),2),IF(B4="ROC",ROUND(-C4*G3,2),0)))</f>
        <v>-0.04</v>
      </c>
      <c r="I4" s="14">
        <f>ROUND(I3+H4,2)</f>
        <v>2509.91</v>
      </c>
      <c r="J4" s="10">
        <f t="shared" si="0"/>
        <v>25.0991</v>
      </c>
    </row>
    <row r="5" spans="1:10" x14ac:dyDescent="0.25">
      <c r="A5" s="8" t="s">
        <v>41</v>
      </c>
      <c r="B5" s="9" t="s">
        <v>49</v>
      </c>
      <c r="C5" s="10">
        <v>26</v>
      </c>
      <c r="D5" s="11">
        <v>10</v>
      </c>
      <c r="E5" s="12">
        <v>9.99</v>
      </c>
      <c r="F5" s="14">
        <f>IF(B5="Sell",ROUND((C5-J4)*D5-IF(ISNUMBER(E5),E5,0),2),0)</f>
        <v>-0.98</v>
      </c>
      <c r="G5" s="15">
        <f>ROUND(IF(B5="Buy",G4+D5,IF(B5="Sell",G4-D5,G4)),4)</f>
        <v>90</v>
      </c>
      <c r="H5" s="14">
        <f>IF(B5="Buy",ROUND(C5*D5+IF(ISNUMBER(E5),E5,0),2),IF(B5="Sell",ROUND(-(J4*D5),2),IF(B5="ROC",ROUND(-C5*G4,2),0)))</f>
        <v>-250.99</v>
      </c>
      <c r="I5" s="14">
        <f>ROUND(I4+H5,2)</f>
        <v>2258.92</v>
      </c>
      <c r="J5" s="10">
        <f t="shared" si="0"/>
        <v>25.099111099999998</v>
      </c>
    </row>
    <row r="6" spans="1:10" x14ac:dyDescent="0.25">
      <c r="A6" s="8" t="s">
        <v>42</v>
      </c>
      <c r="B6" s="9" t="s">
        <v>39</v>
      </c>
      <c r="C6" s="10">
        <v>5.0000000000000001E-4</v>
      </c>
      <c r="D6" s="11"/>
      <c r="E6" s="12"/>
      <c r="F6" s="14">
        <f>IF(B6="Sell",ROUND((C6-J5)*D6-IF(ISNUMBER(E6),E6,0),2),0)</f>
        <v>0</v>
      </c>
      <c r="G6" s="15">
        <f>ROUND(IF(B6="Buy",G5+D6,IF(B6="Sell",G5-D6,G5)),4)</f>
        <v>90</v>
      </c>
      <c r="H6" s="14">
        <f>IF(B6="Buy",ROUND(C6*D6+IF(ISNUMBER(E6),E6,0),2),IF(B6="Sell",ROUND(-(J5*D6),2),IF(B6="ROC",ROUND(-C6*G5,2),0)))</f>
        <v>-0.05</v>
      </c>
      <c r="I6" s="14">
        <f>ROUND(I5+H6,2)</f>
        <v>2258.87</v>
      </c>
      <c r="J6" s="10">
        <f t="shared" si="0"/>
        <v>25.098555600000001</v>
      </c>
    </row>
    <row r="7" spans="1:10" x14ac:dyDescent="0.25">
      <c r="A7" s="8" t="s">
        <v>42</v>
      </c>
      <c r="B7" s="9" t="s">
        <v>39</v>
      </c>
      <c r="C7" s="10">
        <v>-0.43020000000000003</v>
      </c>
      <c r="D7" s="11"/>
      <c r="E7" s="12"/>
      <c r="F7" s="14">
        <f>IF(B7="Sell",ROUND((C7-J6)*D7-IF(ISNUMBER(E7),E7,0),2),0)</f>
        <v>0</v>
      </c>
      <c r="G7" s="15">
        <f>ROUND(IF(B7="Buy",G6+D7,IF(B7="Sell",G6-D7,G6)),4)</f>
        <v>90</v>
      </c>
      <c r="H7" s="14">
        <f>IF(B7="Buy",ROUND(C7*D7+IF(ISNUMBER(E7),E7,0),2),IF(B7="Sell",ROUND(-(J6*D7),2),IF(B7="ROC",ROUND(-C7*G6,2),0)))</f>
        <v>38.72</v>
      </c>
      <c r="I7" s="14">
        <f>ROUND(I6+H7,2)</f>
        <v>2297.59</v>
      </c>
      <c r="J7" s="10">
        <f t="shared" si="0"/>
        <v>25.5287778</v>
      </c>
    </row>
  </sheetData>
  <dataValidations count="1">
    <dataValidation type="list" allowBlank="1" showInputMessage="1" showErrorMessage="1" errorTitle="Invalid entry" error="Please select Buy, Sell, or ROC." promptTitle="Transaction type" prompt="Select Buy, Sell, or ROC" sqref="B2:B986" xr:uid="{00000000-0002-0000-0100-000000000000}">
      <formula1>"Buy,Sell,ROC"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zoomScaleNormal="100" workbookViewId="0">
      <pane ySplit="1" topLeftCell="A2" activePane="bottomLeft" state="frozen"/>
      <selection pane="bottomLeft" activeCell="F10" sqref="F10"/>
    </sheetView>
  </sheetViews>
  <sheetFormatPr defaultColWidth="8.7109375" defaultRowHeight="15" x14ac:dyDescent="0.25"/>
  <cols>
    <col min="1" max="2" width="14" customWidth="1"/>
    <col min="3" max="3" width="15" customWidth="1"/>
    <col min="4" max="4" width="12" customWidth="1"/>
    <col min="5" max="5" width="13" customWidth="1"/>
    <col min="6" max="7" width="14" customWidth="1"/>
    <col min="8" max="10" width="13" customWidth="1"/>
  </cols>
  <sheetData>
    <row r="1" spans="1:10" ht="19.5" customHeight="1" x14ac:dyDescent="0.25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  <c r="F1" s="13" t="s">
        <v>31</v>
      </c>
      <c r="G1" s="13" t="s">
        <v>32</v>
      </c>
      <c r="H1" s="13" t="s">
        <v>33</v>
      </c>
      <c r="I1" s="13" t="s">
        <v>34</v>
      </c>
      <c r="J1" s="13" t="s">
        <v>35</v>
      </c>
    </row>
    <row r="2" spans="1:10" x14ac:dyDescent="0.25">
      <c r="A2" s="8" t="s">
        <v>36</v>
      </c>
      <c r="B2" s="9" t="s">
        <v>37</v>
      </c>
      <c r="C2" s="10">
        <v>11</v>
      </c>
      <c r="D2" s="11">
        <v>500</v>
      </c>
      <c r="E2" s="12">
        <v>9.99</v>
      </c>
      <c r="F2" s="14">
        <f>IF(B2="Sell",ROUND((C2-0)*D2-IF(ISNUMBER(E2),E2,0),2),0)</f>
        <v>0</v>
      </c>
      <c r="G2" s="15">
        <f>ROUND(IF(B2="Buy",0+D2,IF(B2="Sell",0-D2,0)),4)</f>
        <v>500</v>
      </c>
      <c r="H2" s="14">
        <f>IF(B2="Buy",ROUND(C2*D2+IF(ISNUMBER(E2),E2,0),2),IF(B2="Sell",ROUND(-(0*D2),2),IF(B2="ROC",ROUND(-C2*0,2),0)))</f>
        <v>5509.99</v>
      </c>
      <c r="I2" s="14">
        <f>ROUND(0+H2,2)</f>
        <v>5509.99</v>
      </c>
      <c r="J2" s="10">
        <f>IF(G2&lt;&gt;0,ROUND(I2/G2,7),0)</f>
        <v>11.01998</v>
      </c>
    </row>
    <row r="3" spans="1:10" x14ac:dyDescent="0.25">
      <c r="A3" s="8" t="s">
        <v>43</v>
      </c>
      <c r="B3" s="9" t="s">
        <v>39</v>
      </c>
      <c r="C3" s="10">
        <v>1.8E-3</v>
      </c>
      <c r="D3" s="11"/>
      <c r="E3" s="12"/>
      <c r="F3" s="14">
        <f>IF(B3="Sell",ROUND((C3-J2)*D3-IF(ISNUMBER(E3),E3,0),2),0)</f>
        <v>0</v>
      </c>
      <c r="G3" s="15">
        <f>ROUND(IF(B3="Buy",G2+D3,IF(B3="Sell",G2-D3,G2)),4)</f>
        <v>500</v>
      </c>
      <c r="H3" s="14">
        <f>IF(B3="Buy",ROUND(C3*D3+IF(ISNUMBER(E3),E3,0),2),IF(B3="Sell",ROUND(-(J2*D3),2),IF(B3="ROC",ROUND(-C3*G2,2),0)))</f>
        <v>-0.9</v>
      </c>
      <c r="I3" s="14">
        <f>ROUND(I2+H3,2)</f>
        <v>5509.09</v>
      </c>
      <c r="J3" s="10">
        <f>IF(G3&lt;&gt;0,ROUND(I3/G3,7),0)</f>
        <v>11.018179999999999</v>
      </c>
    </row>
    <row r="4" spans="1:10" x14ac:dyDescent="0.25">
      <c r="A4" s="8" t="s">
        <v>44</v>
      </c>
      <c r="B4" s="9" t="s">
        <v>39</v>
      </c>
      <c r="C4" s="10">
        <v>1.8E-3</v>
      </c>
      <c r="D4" s="11"/>
      <c r="E4" s="12"/>
      <c r="F4" s="14">
        <f>IF(B4="Sell",ROUND((C4-J3)*D4-IF(ISNUMBER(E4),E4,0),2),0)</f>
        <v>0</v>
      </c>
      <c r="G4" s="15">
        <f>ROUND(IF(B4="Buy",G3+D4,IF(B4="Sell",G3-D4,G3)),4)</f>
        <v>500</v>
      </c>
      <c r="H4" s="14">
        <f>IF(B4="Buy",ROUND(C4*D4+IF(ISNUMBER(E4),E4,0),2),IF(B4="Sell",ROUND(-(J3*D4),2),IF(B4="ROC",ROUND(-C4*G3,2),0)))</f>
        <v>-0.9</v>
      </c>
      <c r="I4" s="14">
        <f>ROUND(I3+H4,2)</f>
        <v>5508.19</v>
      </c>
      <c r="J4" s="10">
        <f>IF(G4&lt;&gt;0,ROUND(I4/G4,7),0)</f>
        <v>11.01638</v>
      </c>
    </row>
    <row r="5" spans="1:10" x14ac:dyDescent="0.25">
      <c r="A5" s="8" t="s">
        <v>45</v>
      </c>
      <c r="B5" s="9" t="s">
        <v>39</v>
      </c>
      <c r="C5" s="10">
        <v>1.8E-3</v>
      </c>
      <c r="D5" s="11"/>
      <c r="E5" s="12"/>
      <c r="F5" s="14">
        <f>IF(B5="Sell",ROUND((C5-J4)*D5-IF(ISNUMBER(E5),E5,0),2),0)</f>
        <v>0</v>
      </c>
      <c r="G5" s="15">
        <f>ROUND(IF(B5="Buy",G4+D5,IF(B5="Sell",G4-D5,G4)),4)</f>
        <v>500</v>
      </c>
      <c r="H5" s="14">
        <f>IF(B5="Buy",ROUND(C5*D5+IF(ISNUMBER(E5),E5,0),2),IF(B5="Sell",ROUND(-(J4*D5),2),IF(B5="ROC",ROUND(-C5*G4,2),0)))</f>
        <v>-0.9</v>
      </c>
      <c r="I5" s="14">
        <f>ROUND(I4+H5,2)</f>
        <v>5507.29</v>
      </c>
      <c r="J5" s="10">
        <f>IF(G5&lt;&gt;0,ROUND(I5/G5,7),0)</f>
        <v>11.01458</v>
      </c>
    </row>
    <row r="6" spans="1:10" x14ac:dyDescent="0.25">
      <c r="A6" s="8" t="s">
        <v>45</v>
      </c>
      <c r="B6" s="9" t="s">
        <v>37</v>
      </c>
      <c r="C6" s="10">
        <v>11.2</v>
      </c>
      <c r="D6" s="11">
        <v>5.3719999999999999</v>
      </c>
      <c r="E6" s="12"/>
      <c r="F6" s="14">
        <f>IF(B6="Sell",ROUND((C6-J5)*D6-IF(ISNUMBER(E6),E6,0),2),0)</f>
        <v>0</v>
      </c>
      <c r="G6" s="15">
        <f>ROUND(IF(B6="Buy",G5+D6,IF(B6="Sell",G5-D6,G5)),4)</f>
        <v>505.37200000000001</v>
      </c>
      <c r="H6" s="14">
        <f>IF(B6="Buy",ROUND(C6*D6+IF(ISNUMBER(E6),E6,0),2),IF(B6="Sell",ROUND(-(J5*D6),2),IF(B6="ROC",ROUND(-C6*G5,2),0)))</f>
        <v>60.17</v>
      </c>
      <c r="I6" s="14">
        <f>ROUND(I5+H6,2)</f>
        <v>5567.46</v>
      </c>
      <c r="J6" s="10">
        <f>IF(G6&lt;&gt;0,ROUND(I6/G6,7),0)</f>
        <v>11.016558099999999</v>
      </c>
    </row>
  </sheetData>
  <dataValidations count="1">
    <dataValidation type="list" allowBlank="1" showInputMessage="1" showErrorMessage="1" errorTitle="Invalid entry" error="Please select Buy, Sell, or ROC." promptTitle="Transaction type" prompt="Select Buy, Sell, or ROC" sqref="B2:B987" xr:uid="{00000000-0002-0000-0200-000000000000}">
      <formula1>"Buy,Sell,ROC"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"/>
  <sheetViews>
    <sheetView zoomScaleNormal="100" workbookViewId="0">
      <pane ySplit="1" topLeftCell="A2" activePane="bottomLeft" state="frozen"/>
      <selection pane="bottomLeft" activeCell="H12" sqref="H12"/>
    </sheetView>
  </sheetViews>
  <sheetFormatPr defaultColWidth="8.7109375" defaultRowHeight="15" x14ac:dyDescent="0.25"/>
  <cols>
    <col min="1" max="2" width="14" customWidth="1"/>
    <col min="3" max="3" width="15" customWidth="1"/>
    <col min="4" max="4" width="12" customWidth="1"/>
    <col min="5" max="5" width="13" customWidth="1"/>
    <col min="6" max="7" width="14" customWidth="1"/>
    <col min="8" max="10" width="13" customWidth="1"/>
  </cols>
  <sheetData>
    <row r="1" spans="1:10" ht="19.5" customHeight="1" x14ac:dyDescent="0.25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  <c r="F1" s="13" t="s">
        <v>31</v>
      </c>
      <c r="G1" s="13" t="s">
        <v>32</v>
      </c>
      <c r="H1" s="13" t="s">
        <v>33</v>
      </c>
      <c r="I1" s="13" t="s">
        <v>34</v>
      </c>
      <c r="J1" s="13" t="s">
        <v>35</v>
      </c>
    </row>
    <row r="2" spans="1:10" x14ac:dyDescent="0.25">
      <c r="A2" s="8" t="s">
        <v>36</v>
      </c>
      <c r="B2" s="9" t="s">
        <v>37</v>
      </c>
      <c r="C2" s="10">
        <v>30</v>
      </c>
      <c r="D2" s="11">
        <v>100</v>
      </c>
      <c r="E2" s="12">
        <v>9.99</v>
      </c>
      <c r="F2" s="14">
        <f>IF(B2="Sell",ROUND((C2-0)*D2-IF(ISNUMBER(E2),E2,0),2),0)</f>
        <v>0</v>
      </c>
      <c r="G2" s="15">
        <f>ROUND(IF(B2="Buy",0+D2,IF(B2="Sell",0-D2,0)),4)</f>
        <v>100</v>
      </c>
      <c r="H2" s="14">
        <f>IF(B2="Buy",ROUND(C2*D2+IF(ISNUMBER(E2),E2,0),2),IF(B2="Sell",ROUND(-(0*D2),2),IF(B2="ROC",ROUND(-C2*0,2),0)))</f>
        <v>3009.99</v>
      </c>
      <c r="I2" s="14">
        <f>ROUND(0+H2,2)</f>
        <v>3009.99</v>
      </c>
      <c r="J2" s="10">
        <f>IF(G2&lt;&gt;0,ROUND(I2/G2,7),0)</f>
        <v>30.099900000000002</v>
      </c>
    </row>
    <row r="3" spans="1:10" x14ac:dyDescent="0.25">
      <c r="A3" s="8" t="s">
        <v>46</v>
      </c>
      <c r="B3" s="9" t="s">
        <v>39</v>
      </c>
      <c r="C3" s="10">
        <v>2.0999999999999999E-3</v>
      </c>
      <c r="D3" s="11"/>
      <c r="E3" s="12"/>
      <c r="F3" s="14">
        <f>IF(B3="Sell",ROUND((C3-J2)*D3-IF(ISNUMBER(E3),E3,0),2),0)</f>
        <v>0</v>
      </c>
      <c r="G3" s="15">
        <f>ROUND(IF(B3="Buy",G2+D3,IF(B3="Sell",G2-D3,G2)),4)</f>
        <v>100</v>
      </c>
      <c r="H3" s="14">
        <f>IF(B3="Buy",ROUND(C3*D3+IF(ISNUMBER(E3),E3,0),2),IF(B3="Sell",ROUND(-(J2*D3),2),IF(B3="ROC",ROUND(-C3*G2,2),0)))</f>
        <v>-0.21</v>
      </c>
      <c r="I3" s="14">
        <f>ROUND(I2+H3,2)</f>
        <v>3009.78</v>
      </c>
      <c r="J3" s="10">
        <f>IF(G3&lt;&gt;0,ROUND(I3/G3,7),0)</f>
        <v>30.097799999999999</v>
      </c>
    </row>
    <row r="4" spans="1:10" x14ac:dyDescent="0.25">
      <c r="A4" s="8" t="s">
        <v>42</v>
      </c>
      <c r="B4" s="9" t="s">
        <v>39</v>
      </c>
      <c r="C4" s="10">
        <v>-0.2114</v>
      </c>
      <c r="D4" s="11"/>
      <c r="E4" s="12"/>
      <c r="F4" s="14">
        <f>IF(B4="Sell",ROUND((C4-J3)*D4-IF(ISNUMBER(E4),E4,0),2),0)</f>
        <v>0</v>
      </c>
      <c r="G4" s="15">
        <f>ROUND(IF(B4="Buy",G3+D4,IF(B4="Sell",G3-D4,G3)),4)</f>
        <v>100</v>
      </c>
      <c r="H4" s="14">
        <f>IF(B4="Buy",ROUND(C4*D4+IF(ISNUMBER(E4),E4,0),2),IF(B4="Sell",ROUND(-(J3*D4),2),IF(B4="ROC",ROUND(-C4*G3,2),0)))</f>
        <v>21.14</v>
      </c>
      <c r="I4" s="14">
        <f>ROUND(I3+H4,2)</f>
        <v>3030.92</v>
      </c>
      <c r="J4" s="10">
        <f>IF(G4&lt;&gt;0,ROUND(I4/G4,7),0)</f>
        <v>30.309200000000001</v>
      </c>
    </row>
  </sheetData>
  <dataValidations count="1">
    <dataValidation type="list" allowBlank="1" showInputMessage="1" showErrorMessage="1" errorTitle="Invalid entry" error="Please select Buy, Sell, or ROC." promptTitle="Transaction type" prompt="Select Buy, Sell, or ROC" sqref="B2:B986" xr:uid="{00000000-0002-0000-0300-000000000000}">
      <formula1>"Buy,Sell,ROC"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"/>
  <sheetViews>
    <sheetView zoomScaleNormal="100" workbookViewId="0">
      <pane ySplit="1" topLeftCell="A2" activePane="bottomLeft" state="frozen"/>
      <selection pane="bottomLeft" activeCell="J1" sqref="A1:J1"/>
    </sheetView>
  </sheetViews>
  <sheetFormatPr defaultColWidth="8.7109375" defaultRowHeight="15" x14ac:dyDescent="0.25"/>
  <cols>
    <col min="1" max="2" width="14" customWidth="1"/>
    <col min="3" max="3" width="15" customWidth="1"/>
    <col min="4" max="4" width="12" customWidth="1"/>
    <col min="5" max="5" width="13" customWidth="1"/>
    <col min="6" max="7" width="14" customWidth="1"/>
    <col min="8" max="10" width="13" customWidth="1"/>
  </cols>
  <sheetData>
    <row r="1" spans="1:10" ht="19.5" customHeight="1" x14ac:dyDescent="0.25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  <c r="F1" s="13" t="s">
        <v>31</v>
      </c>
      <c r="G1" s="13" t="s">
        <v>32</v>
      </c>
      <c r="H1" s="13" t="s">
        <v>33</v>
      </c>
      <c r="I1" s="13" t="s">
        <v>34</v>
      </c>
      <c r="J1" s="13" t="s">
        <v>35</v>
      </c>
    </row>
    <row r="2" spans="1:10" x14ac:dyDescent="0.25">
      <c r="A2" s="8" t="s">
        <v>36</v>
      </c>
      <c r="B2" s="9" t="s">
        <v>37</v>
      </c>
      <c r="C2" s="10">
        <v>32</v>
      </c>
      <c r="D2" s="11">
        <v>200</v>
      </c>
      <c r="E2" s="12">
        <v>9.99</v>
      </c>
      <c r="F2" s="5">
        <f>IF(B2="Sell",ROUND((C2-0)*D2-IF(ISNUMBER(E2),E2,0),2),0)</f>
        <v>0</v>
      </c>
      <c r="G2" s="6">
        <f>ROUND(IF(B2="Buy",0+D2,IF(B2="Sell",0-D2,0)),4)</f>
        <v>200</v>
      </c>
      <c r="H2" s="5">
        <f>IF(B2="Buy",ROUND(C2*D2+IF(ISNUMBER(E2),E2,0),2),IF(B2="Sell",ROUND(-(0*D2),2),IF(B2="ROC",ROUND(-C2*0,2),0)))</f>
        <v>6409.99</v>
      </c>
      <c r="I2" s="5">
        <f>ROUND(0+H2,2)</f>
        <v>6409.99</v>
      </c>
      <c r="J2" s="7">
        <f>IF(G2&lt;&gt;0,ROUND(I2/G2,7),0)</f>
        <v>32.049950000000003</v>
      </c>
    </row>
    <row r="3" spans="1:10" x14ac:dyDescent="0.25">
      <c r="A3" s="8" t="s">
        <v>47</v>
      </c>
      <c r="B3" s="9" t="s">
        <v>39</v>
      </c>
      <c r="C3" s="10">
        <v>5.8999999999999999E-3</v>
      </c>
      <c r="D3" s="11"/>
      <c r="E3" s="12"/>
      <c r="F3" s="5">
        <f>IF(B3="Sell",ROUND((C3-J2)*D3-IF(ISNUMBER(E3),E3,0),2),0)</f>
        <v>0</v>
      </c>
      <c r="G3" s="6">
        <f>ROUND(IF(B3="Buy",G2+D3,IF(B3="Sell",G2-D3,G2)),4)</f>
        <v>200</v>
      </c>
      <c r="H3" s="5">
        <f>IF(B3="Buy",ROUND(C3*D3+IF(ISNUMBER(E3),E3,0),2),IF(B3="Sell",ROUND(-(J2*D3),2),IF(B3="ROC",ROUND(-C3*G2,2),0)))</f>
        <v>-1.18</v>
      </c>
      <c r="I3" s="5">
        <f>ROUND(I2+H3,2)</f>
        <v>6408.81</v>
      </c>
      <c r="J3" s="7">
        <f>IF(G3&lt;&gt;0,ROUND(I3/G3,7),0)</f>
        <v>32.044049999999999</v>
      </c>
    </row>
    <row r="4" spans="1:10" x14ac:dyDescent="0.25">
      <c r="A4" s="8" t="s">
        <v>48</v>
      </c>
      <c r="B4" s="9" t="s">
        <v>39</v>
      </c>
      <c r="C4" s="10">
        <v>5.8999999999999999E-3</v>
      </c>
      <c r="D4" s="11"/>
      <c r="E4" s="12"/>
      <c r="F4" s="5">
        <f>IF(B4="Sell",ROUND((C4-J3)*D4-IF(ISNUMBER(E4),E4,0),2),0)</f>
        <v>0</v>
      </c>
      <c r="G4" s="6">
        <f>ROUND(IF(B4="Buy",G3+D4,IF(B4="Sell",G3-D4,G3)),4)</f>
        <v>200</v>
      </c>
      <c r="H4" s="5">
        <f>IF(B4="Buy",ROUND(C4*D4+IF(ISNUMBER(E4),E4,0),2),IF(B4="Sell",ROUND(-(J3*D4),2),IF(B4="ROC",ROUND(-C4*G3,2),0)))</f>
        <v>-1.18</v>
      </c>
      <c r="I4" s="5">
        <f>ROUND(I3+H4,2)</f>
        <v>6407.63</v>
      </c>
      <c r="J4" s="7">
        <f>IF(G4&lt;&gt;0,ROUND(I4/G4,7),0)</f>
        <v>32.038150000000002</v>
      </c>
    </row>
    <row r="5" spans="1:10" x14ac:dyDescent="0.25">
      <c r="A5" s="8" t="s">
        <v>42</v>
      </c>
      <c r="B5" s="9" t="s">
        <v>39</v>
      </c>
      <c r="C5" s="10">
        <v>-0.02</v>
      </c>
      <c r="D5" s="11"/>
      <c r="E5" s="12"/>
      <c r="F5" s="5">
        <f>IF(B5="Sell",ROUND((C5-J4)*D5-IF(ISNUMBER(E5),E5,0),2),0)</f>
        <v>0</v>
      </c>
      <c r="G5" s="6">
        <f>ROUND(IF(B5="Buy",G4+D5,IF(B5="Sell",G4-D5,G4)),4)</f>
        <v>200</v>
      </c>
      <c r="H5" s="5">
        <f>IF(B5="Buy",ROUND(C5*D5+IF(ISNUMBER(E5),E5,0),2),IF(B5="Sell",ROUND(-(J4*D5),2),IF(B5="ROC",ROUND(-C5*G4,2),0)))</f>
        <v>4</v>
      </c>
      <c r="I5" s="5">
        <f>ROUND(I4+H5,2)</f>
        <v>6411.63</v>
      </c>
      <c r="J5" s="7">
        <f>IF(G5&lt;&gt;0,ROUND(I5/G5,7),0)</f>
        <v>32.058149999999998</v>
      </c>
    </row>
    <row r="6" spans="1:10" x14ac:dyDescent="0.25">
      <c r="A6" s="8" t="s">
        <v>42</v>
      </c>
      <c r="B6" s="9" t="s">
        <v>39</v>
      </c>
      <c r="C6" s="10">
        <v>6.1999999999999998E-3</v>
      </c>
      <c r="D6" s="11"/>
      <c r="E6" s="12"/>
      <c r="F6" s="5">
        <f>IF(B6="Sell",ROUND((C6-J5)*D6-IF(ISNUMBER(E6),E6,0),2),0)</f>
        <v>0</v>
      </c>
      <c r="G6" s="6">
        <f>ROUND(IF(B6="Buy",G5+D6,IF(B6="Sell",G5-D6,G5)),4)</f>
        <v>200</v>
      </c>
      <c r="H6" s="5">
        <f>IF(B6="Buy",ROUND(C6*D6+IF(ISNUMBER(E6),E6,0),2),IF(B6="Sell",ROUND(-(J5*D6),2),IF(B6="ROC",ROUND(-C6*G5,2),0)))</f>
        <v>-1.24</v>
      </c>
      <c r="I6" s="5">
        <f>ROUND(I5+H6,2)</f>
        <v>6410.39</v>
      </c>
      <c r="J6" s="7">
        <f>IF(G6&lt;&gt;0,ROUND(I6/G6,7),0)</f>
        <v>32.051949999999998</v>
      </c>
    </row>
  </sheetData>
  <dataValidations disablePrompts="1" count="1">
    <dataValidation type="list" allowBlank="1" showInputMessage="1" showErrorMessage="1" errorTitle="Invalid entry" error="Please select Buy, Sell, or ROC." promptTitle="Transaction type" prompt="Select Buy, Sell, or ROC" sqref="B2:B986" xr:uid="{00000000-0002-0000-0400-000000000000}">
      <formula1>"Buy,Sell,ROC"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VBAL</vt:lpstr>
      <vt:lpstr>CPD</vt:lpstr>
      <vt:lpstr>VRE</vt:lpstr>
      <vt:lpstr>ZCN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Dimitrov, Nik</cp:lastModifiedBy>
  <cp:revision>0</cp:revision>
  <dcterms:created xsi:type="dcterms:W3CDTF">2026-03-11T11:04:43Z</dcterms:created>
  <dcterms:modified xsi:type="dcterms:W3CDTF">2026-03-11T17:15:23Z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e804de9-5306-4a8f-920e-16c68d5498ba_Enabled">
    <vt:lpwstr>true</vt:lpwstr>
  </property>
  <property fmtid="{D5CDD505-2E9C-101B-9397-08002B2CF9AE}" pid="3" name="MSIP_Label_9e804de9-5306-4a8f-920e-16c68d5498ba_SetDate">
    <vt:lpwstr>2026-03-11T11:14:04Z</vt:lpwstr>
  </property>
  <property fmtid="{D5CDD505-2E9C-101B-9397-08002B2CF9AE}" pid="4" name="MSIP_Label_9e804de9-5306-4a8f-920e-16c68d5498ba_Method">
    <vt:lpwstr>Standard</vt:lpwstr>
  </property>
  <property fmtid="{D5CDD505-2E9C-101B-9397-08002B2CF9AE}" pid="5" name="MSIP_Label_9e804de9-5306-4a8f-920e-16c68d5498ba_Name">
    <vt:lpwstr>Public</vt:lpwstr>
  </property>
  <property fmtid="{D5CDD505-2E9C-101B-9397-08002B2CF9AE}" pid="6" name="MSIP_Label_9e804de9-5306-4a8f-920e-16c68d5498ba_SiteId">
    <vt:lpwstr>547040db-1855-4320-9738-e6878f6271fc</vt:lpwstr>
  </property>
  <property fmtid="{D5CDD505-2E9C-101B-9397-08002B2CF9AE}" pid="7" name="MSIP_Label_9e804de9-5306-4a8f-920e-16c68d5498ba_ActionId">
    <vt:lpwstr>f72f6b2c-1bc2-4d18-abd0-63a49752ee3b</vt:lpwstr>
  </property>
  <property fmtid="{D5CDD505-2E9C-101B-9397-08002B2CF9AE}" pid="8" name="MSIP_Label_9e804de9-5306-4a8f-920e-16c68d5498ba_ContentBits">
    <vt:lpwstr>0</vt:lpwstr>
  </property>
  <property fmtid="{D5CDD505-2E9C-101B-9397-08002B2CF9AE}" pid="9" name="MSIP_Label_9e804de9-5306-4a8f-920e-16c68d5498ba_Tag">
    <vt:lpwstr>10, 3, 0, 1</vt:lpwstr>
  </property>
</Properties>
</file>